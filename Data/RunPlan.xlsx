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y.shell.com/personal/sankar_sasmal_shell_com/Documents/Documents/GitHub/ILS_App/Data/"/>
    </mc:Choice>
  </mc:AlternateContent>
  <xr:revisionPtr revIDLastSave="9" documentId="13_ncr:1_{40421327-1BFB-4A7A-A6F9-09E5F8DC302A}" xr6:coauthVersionLast="47" xr6:coauthVersionMax="47" xr10:uidLastSave="{7ADD8756-678F-43F3-8E6E-57709725D5D2}"/>
  <bookViews>
    <workbookView xWindow="-38520" yWindow="-120" windowWidth="38640" windowHeight="21120" activeTab="1" xr2:uid="{BE00B740-2B24-4025-957A-D8A48D5184FE}"/>
  </bookViews>
  <sheets>
    <sheet name="Plan" sheetId="1" r:id="rId1"/>
    <sheet name="DOE" sheetId="2" r:id="rId2"/>
    <sheet name="Feed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26" i="1" l="1"/>
  <c r="C27" i="1" s="1"/>
  <c r="H10" i="1"/>
  <c r="G10" i="1"/>
  <c r="D10" i="1"/>
  <c r="C10" i="1"/>
</calcChain>
</file>

<file path=xl/sharedStrings.xml><?xml version="1.0" encoding="utf-8"?>
<sst xmlns="http://schemas.openxmlformats.org/spreadsheetml/2006/main" count="231" uniqueCount="116">
  <si>
    <t>Objective</t>
  </si>
  <si>
    <t>Chemically validate the ILS‑8 reactor unit for the isomerization application using ETCA‑equivalent feed, catalyst, and operating conditions and also evaluate tube to tube repeatability across the identified reactors.</t>
  </si>
  <si>
    <t>Catalyst Loading Plan</t>
  </si>
  <si>
    <t>Units</t>
  </si>
  <si>
    <t>Block 1</t>
  </si>
  <si>
    <t>Block 2</t>
  </si>
  <si>
    <t>Reactor</t>
  </si>
  <si>
    <t>--</t>
  </si>
  <si>
    <t>Catalyst</t>
  </si>
  <si>
    <t>ATHOS-3</t>
  </si>
  <si>
    <t>X</t>
  </si>
  <si>
    <t>SiC-INERT</t>
  </si>
  <si>
    <t>Shape &amp; Size</t>
  </si>
  <si>
    <t>mm</t>
  </si>
  <si>
    <t>CY 1.6</t>
  </si>
  <si>
    <t>0.8 mm</t>
  </si>
  <si>
    <t>Catalyst volume</t>
  </si>
  <si>
    <t>ml</t>
  </si>
  <si>
    <t>Catalyst CBD (as-is)</t>
  </si>
  <si>
    <t>g/ml</t>
  </si>
  <si>
    <t>Catalyst amount</t>
  </si>
  <si>
    <t>gms</t>
  </si>
  <si>
    <t>Op.Conditions</t>
  </si>
  <si>
    <t>Pressure</t>
  </si>
  <si>
    <t>barg</t>
  </si>
  <si>
    <t>Temperature</t>
  </si>
  <si>
    <r>
      <rPr>
        <vertAlign val="superscript"/>
        <sz val="11"/>
        <color theme="1"/>
        <rFont val="Aptos"/>
        <family val="2"/>
      </rPr>
      <t>o</t>
    </r>
    <r>
      <rPr>
        <sz val="11"/>
        <color theme="1"/>
        <rFont val="Aptos"/>
        <family val="2"/>
      </rPr>
      <t>C</t>
    </r>
  </si>
  <si>
    <t>WHSV</t>
  </si>
  <si>
    <t>h-1</t>
  </si>
  <si>
    <t>H2/Naphtha</t>
  </si>
  <si>
    <t>mol.basis</t>
  </si>
  <si>
    <t>Duration</t>
  </si>
  <si>
    <t>hrs</t>
  </si>
  <si>
    <t>24 to 36</t>
  </si>
  <si>
    <t>Feed  molecular weight</t>
  </si>
  <si>
    <t>from offline DHA</t>
  </si>
  <si>
    <t>Constant for R1, R2, R5 and R6 across all six conditions</t>
  </si>
  <si>
    <t>Temperature for R1, R2, R5, and R6 remain constant within each condition; when the condition changes, all reactor temperatures are to be adjusted accordingly</t>
  </si>
  <si>
    <t>Naphtha flow</t>
  </si>
  <si>
    <t>gms/hr</t>
  </si>
  <si>
    <r>
      <t>Constant for R1, R2, and R6 across all six conditions;</t>
    </r>
    <r>
      <rPr>
        <sz val="11"/>
        <color rgb="FFFF0000"/>
        <rFont val="Aptos"/>
        <family val="2"/>
      </rPr>
      <t xml:space="preserve"> R5 to be operated under gas and liquid feed</t>
    </r>
  </si>
  <si>
    <t>H2 flow</t>
  </si>
  <si>
    <t>N2 dilution flow</t>
  </si>
  <si>
    <t>NLPH</t>
  </si>
  <si>
    <t>Note</t>
  </si>
  <si>
    <t xml:space="preserve"> Identical conditions for all reactors loaded with catalyst</t>
  </si>
  <si>
    <t>A reactor loaded with inert material will operate under the same conditions as a catalyst‑loaded reactor, except that no naphtha feed is introduced.</t>
  </si>
  <si>
    <t>H2 flow rate</t>
  </si>
  <si>
    <t>HT Unit – DOE / Run Plan (8 reactors, 2 blocks, 6 conditions)</t>
  </si>
  <si>
    <t>How to use this sheet:</t>
  </si>
  <si>
    <t>1. Reactors are split into Block A (R1–R4) and Block B (R5–R8) — change this if your split is different.</t>
  </si>
  <si>
    <t>2. Temperature and Pressure are set ONCE PER BLOCK PER CONDITION (shown in merged cells) — they apply to all 4 reactors in that block.</t>
  </si>
  <si>
    <t>3. The two blocks are independent: Block A and Block B can be run at different T/P and on different dates at the same time.</t>
  </si>
  <si>
    <t>4. Flow rates (H2 upstream, Liquid, N2 downstream) are set PER INDIVIDUAL REACTOR — edit each reactor's row separately.</t>
  </si>
  <si>
    <t>5. Yellow cells are the ones you fill in. Condition 1 rows are filled with example values — replace with your real numbers, then delete the 'EXAMPLE' remark.</t>
  </si>
  <si>
    <t>6. Add/duplicate condition blocks if you need more than 6, or delete rows if you need fewer.</t>
  </si>
  <si>
    <t>Condition
No.</t>
  </si>
  <si>
    <t>Block</t>
  </si>
  <si>
    <t>Start Date</t>
  </si>
  <si>
    <t>End Date</t>
  </si>
  <si>
    <t>Temperature
(°C)</t>
  </si>
  <si>
    <t>Pressure
(barg)</t>
  </si>
  <si>
    <t>Reactor
ID</t>
  </si>
  <si>
    <t>Remarks</t>
  </si>
  <si>
    <t>R1</t>
  </si>
  <si>
    <t>EXAMPLE – replace with real values</t>
  </si>
  <si>
    <t>R2</t>
  </si>
  <si>
    <t>R3</t>
  </si>
  <si>
    <t>R4</t>
  </si>
  <si>
    <t>R5</t>
  </si>
  <si>
    <t>EXAMPLE – Block B runs a different T/P than Block A, in parallel</t>
  </si>
  <si>
    <t>R6</t>
  </si>
  <si>
    <t>R7</t>
  </si>
  <si>
    <t>R8</t>
  </si>
  <si>
    <t>Loading-Preheating Zone</t>
  </si>
  <si>
    <t>Loading-Catalyst Bed Zone</t>
  </si>
  <si>
    <t>Loading-Post Heating Zone</t>
  </si>
  <si>
    <t>H2 Flow
(gms/h)</t>
  </si>
  <si>
    <t>Naphtha Flow
(gms/h)</t>
  </si>
  <si>
    <t>N2 dilution flow
(NLPH)</t>
  </si>
  <si>
    <t>Loaded catalyst weught</t>
  </si>
  <si>
    <t>g</t>
  </si>
  <si>
    <t>Synthetic Feed</t>
  </si>
  <si>
    <t>Carbon</t>
  </si>
  <si>
    <t>wt%</t>
  </si>
  <si>
    <t>Hydrogen</t>
  </si>
  <si>
    <t>Molecular Weight</t>
  </si>
  <si>
    <t>RON</t>
  </si>
  <si>
    <t>online DHA</t>
  </si>
  <si>
    <t>Propane</t>
  </si>
  <si>
    <t>n-P</t>
  </si>
  <si>
    <t>i-Butane</t>
  </si>
  <si>
    <t>i-P</t>
  </si>
  <si>
    <t>n-Butane</t>
  </si>
  <si>
    <t>i-Pentane</t>
  </si>
  <si>
    <t>n-Pentane</t>
  </si>
  <si>
    <t>2,2-Dimethylbutane</t>
  </si>
  <si>
    <t>2,3-Dimethylbutane</t>
  </si>
  <si>
    <t>2-Methylpentane</t>
  </si>
  <si>
    <t>3-Methylpentane</t>
  </si>
  <si>
    <t>n-Hexane</t>
  </si>
  <si>
    <t>Methylcyclopentane</t>
  </si>
  <si>
    <t>N</t>
  </si>
  <si>
    <t>2-Methylhexane</t>
  </si>
  <si>
    <t>3-Methylhexane</t>
  </si>
  <si>
    <t>n-Heptane</t>
  </si>
  <si>
    <t>n-Octane</t>
  </si>
  <si>
    <t>Unidentified(&lt;C3)</t>
  </si>
  <si>
    <t>Unidentified(C6-C7)</t>
  </si>
  <si>
    <t>Unidentified(C7-C8)</t>
  </si>
  <si>
    <t>Unidentified (C8+)</t>
  </si>
  <si>
    <t xml:space="preserve">Total </t>
  </si>
  <si>
    <t>WHSV
(/h)</t>
  </si>
  <si>
    <t xml:space="preserve">H2/Naphtha
(mol.basis)
</t>
  </si>
  <si>
    <t>Block-1</t>
  </si>
  <si>
    <t>Block-2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</si>
</sst>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00"/>
    <numFmt numFmtId="165" formatCode="0.0000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"/>
      <family val="2"/>
    </font>
    <font>
      <b/>
      <sz val="11"/>
      <color rgb="FF0070C0"/>
      <name val="Aptos"/>
      <family val="2"/>
    </font>
    <font>
      <vertAlign val="superscript"/>
      <sz val="11"/>
      <color theme="1"/>
      <name val="Aptos"/>
      <family val="2"/>
    </font>
    <font>
      <sz val="11"/>
      <color rgb="FFFF0000"/>
      <name val="Aptos"/>
      <family val="2"/>
    </font>
    <font>
      <b/>
      <sz val="14"/>
      <name val="Arial"/>
      <family val="2"/>
    </font>
    <font>
      <b/>
      <sz val="9"/>
      <name val="Arial"/>
      <family val="2"/>
    </font>
    <font>
      <i/>
      <sz val="9"/>
      <name val="Arial"/>
      <family val="2"/>
    </font>
    <font>
      <b/>
      <sz val="10"/>
      <color rgb="FFFFFFFF"/>
      <name val="Arial"/>
      <family val="2"/>
    </font>
    <font>
      <b/>
      <sz val="11"/>
      <color theme="1"/>
      <name val="Aptos"/>
      <family val="2"/>
    </font>
  </fonts>
  <fills count="11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1F4E78"/>
      </patternFill>
    </fill>
    <fill>
      <patternFill patternType="solid">
        <fgColor rgb="FFDDEBF7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theme="5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/>
      <bottom/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</borders>
  <cellStyleXfs count="1">
    <xf numFmtId="0" fontId="0" fillId="0" borderId="0"/>
  </cellStyleXfs>
  <cellXfs count="6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0" xfId="0" applyFont="1" applyFill="1"/>
    <xf numFmtId="0" fontId="1" fillId="3" borderId="0" xfId="0" applyFont="1" applyFill="1" applyAlignment="1">
      <alignment horizontal="center"/>
    </xf>
    <xf numFmtId="0" fontId="1" fillId="2" borderId="1" xfId="0" applyFont="1" applyFill="1" applyBorder="1" applyAlignment="1">
      <alignment horizontal="right"/>
    </xf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right"/>
    </xf>
    <xf numFmtId="0" fontId="1" fillId="3" borderId="1" xfId="0" quotePrefix="1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2" fontId="1" fillId="3" borderId="1" xfId="0" applyNumberFormat="1" applyFont="1" applyFill="1" applyBorder="1" applyAlignment="1">
      <alignment horizontal="center"/>
    </xf>
    <xf numFmtId="164" fontId="1" fillId="3" borderId="1" xfId="0" applyNumberFormat="1" applyFont="1" applyFill="1" applyBorder="1" applyAlignment="1">
      <alignment horizontal="center"/>
    </xf>
    <xf numFmtId="1" fontId="1" fillId="3" borderId="1" xfId="0" applyNumberFormat="1" applyFont="1" applyFill="1" applyBorder="1" applyAlignment="1">
      <alignment horizontal="center"/>
    </xf>
    <xf numFmtId="0" fontId="1" fillId="3" borderId="3" xfId="0" applyFont="1" applyFill="1" applyBorder="1"/>
    <xf numFmtId="0" fontId="1" fillId="3" borderId="4" xfId="0" applyFont="1" applyFill="1" applyBorder="1"/>
    <xf numFmtId="0" fontId="1" fillId="3" borderId="1" xfId="0" applyFont="1" applyFill="1" applyBorder="1"/>
    <xf numFmtId="0" fontId="1" fillId="0" borderId="3" xfId="0" applyFont="1" applyBorder="1" applyAlignment="1">
      <alignment vertical="center"/>
    </xf>
    <xf numFmtId="165" fontId="1" fillId="3" borderId="1" xfId="0" applyNumberFormat="1" applyFont="1" applyFill="1" applyBorder="1" applyAlignment="1">
      <alignment horizontal="center"/>
    </xf>
    <xf numFmtId="0" fontId="1" fillId="0" borderId="5" xfId="0" applyFont="1" applyBorder="1" applyAlignment="1">
      <alignment vertical="center"/>
    </xf>
    <xf numFmtId="0" fontId="1" fillId="3" borderId="5" xfId="0" applyFont="1" applyFill="1" applyBorder="1"/>
    <xf numFmtId="0" fontId="1" fillId="3" borderId="6" xfId="0" applyFont="1" applyFill="1" applyBorder="1"/>
    <xf numFmtId="0" fontId="4" fillId="3" borderId="0" xfId="0" applyFont="1" applyFill="1" applyAlignment="1">
      <alignment vertical="center"/>
    </xf>
    <xf numFmtId="0" fontId="8" fillId="5" borderId="7" xfId="0" applyFont="1" applyFill="1" applyBorder="1" applyAlignment="1">
      <alignment horizontal="center" vertical="center" wrapText="1"/>
    </xf>
    <xf numFmtId="0" fontId="0" fillId="6" borderId="7" xfId="0" applyFill="1" applyBorder="1" applyAlignment="1">
      <alignment horizontal="center" vertical="center" wrapText="1"/>
    </xf>
    <xf numFmtId="0" fontId="0" fillId="7" borderId="7" xfId="0" applyFill="1" applyBorder="1" applyAlignment="1">
      <alignment horizontal="center" vertical="center" wrapText="1"/>
    </xf>
    <xf numFmtId="0" fontId="0" fillId="0" borderId="7" xfId="0" applyBorder="1" applyAlignment="1">
      <alignment horizontal="left" vertical="center" wrapText="1"/>
    </xf>
    <xf numFmtId="0" fontId="0" fillId="8" borderId="7" xfId="0" applyFill="1" applyBorder="1" applyAlignment="1">
      <alignment horizontal="center" vertical="center" wrapText="1"/>
    </xf>
    <xf numFmtId="0" fontId="0" fillId="9" borderId="7" xfId="0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right"/>
    </xf>
    <xf numFmtId="0" fontId="1" fillId="3" borderId="5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right"/>
    </xf>
    <xf numFmtId="0" fontId="1" fillId="3" borderId="3" xfId="0" applyFont="1" applyFill="1" applyBorder="1" applyAlignment="1">
      <alignment horizontal="center"/>
    </xf>
    <xf numFmtId="0" fontId="0" fillId="9" borderId="7" xfId="0" applyFill="1" applyBorder="1" applyAlignment="1">
      <alignment horizontal="center" vertical="center" wrapText="1"/>
    </xf>
    <xf numFmtId="0" fontId="0" fillId="0" borderId="8" xfId="0" applyBorder="1"/>
    <xf numFmtId="0" fontId="0" fillId="0" borderId="9" xfId="0" applyBorder="1"/>
    <xf numFmtId="0" fontId="0" fillId="8" borderId="7" xfId="0" applyFill="1" applyBorder="1" applyAlignment="1">
      <alignment horizontal="center" vertical="center" wrapText="1"/>
    </xf>
    <xf numFmtId="0" fontId="0" fillId="9" borderId="10" xfId="0" applyFill="1" applyBorder="1" applyAlignment="1">
      <alignment horizontal="center" vertical="center" wrapText="1"/>
    </xf>
    <xf numFmtId="0" fontId="0" fillId="9" borderId="8" xfId="0" applyFill="1" applyBorder="1" applyAlignment="1">
      <alignment horizontal="center" vertical="center" wrapText="1"/>
    </xf>
    <xf numFmtId="0" fontId="0" fillId="9" borderId="9" xfId="0" applyFill="1" applyBorder="1" applyAlignment="1">
      <alignment horizontal="center" vertical="center" wrapText="1"/>
    </xf>
    <xf numFmtId="0" fontId="0" fillId="7" borderId="7" xfId="0" applyFill="1" applyBorder="1" applyAlignment="1">
      <alignment horizontal="center" vertical="center" wrapText="1"/>
    </xf>
    <xf numFmtId="0" fontId="0" fillId="6" borderId="7" xfId="0" applyFill="1" applyBorder="1" applyAlignment="1">
      <alignment horizontal="center" vertical="center" wrapText="1"/>
    </xf>
    <xf numFmtId="0" fontId="0" fillId="6" borderId="10" xfId="0" applyFill="1" applyBorder="1" applyAlignment="1">
      <alignment horizontal="center" vertical="center" wrapText="1"/>
    </xf>
    <xf numFmtId="0" fontId="0" fillId="6" borderId="8" xfId="0" applyFill="1" applyBorder="1" applyAlignment="1">
      <alignment horizontal="center" vertical="center" wrapText="1"/>
    </xf>
    <xf numFmtId="0" fontId="0" fillId="6" borderId="9" xfId="0" applyFill="1" applyBorder="1" applyAlignment="1">
      <alignment horizontal="center" vertical="center" wrapText="1"/>
    </xf>
    <xf numFmtId="0" fontId="7" fillId="0" borderId="0" xfId="0" applyFont="1" applyAlignment="1">
      <alignment horizontal="left" vertical="center" wrapText="1"/>
    </xf>
    <xf numFmtId="0" fontId="0" fillId="0" borderId="0" xfId="0"/>
    <xf numFmtId="0" fontId="5" fillId="0" borderId="0" xfId="0" applyFont="1"/>
    <xf numFmtId="0" fontId="6" fillId="0" borderId="0" xfId="0" applyFont="1" applyAlignment="1">
      <alignment horizontal="left" vertical="center" wrapText="1"/>
    </xf>
    <xf numFmtId="0" fontId="1" fillId="3" borderId="2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/>
    </xf>
    <xf numFmtId="0" fontId="1" fillId="0" borderId="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1" fillId="3" borderId="0" xfId="0" applyFont="1" applyFill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9" fillId="10" borderId="0" xfId="0" applyFont="1" applyFill="1" applyAlignment="1">
      <alignment horizontal="center"/>
    </xf>
    <xf numFmtId="0" fontId="1" fillId="3" borderId="5" xfId="0" applyFont="1" applyFill="1" applyBorder="1" applyAlignment="1">
      <alignment horizontal="right"/>
    </xf>
    <xf numFmtId="22" fontId="0" fillId="7" borderId="7" xfId="0" applyNumberFormat="1" applyFill="1" applyBorder="1" applyAlignment="1">
      <alignment horizontal="center" vertical="center" wrapText="1"/>
    </xf>
    <xf numFmtId="22" fontId="0" fillId="0" borderId="8" xfId="0" applyNumberFormat="1" applyBorder="1"/>
    <xf numFmtId="22" fontId="0" fillId="0" borderId="9" xfId="0" applyNumberFormat="1" applyBorder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4778437B-F67D-4AB8-B21C-C6D0154A792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4A387-517D-4334-AD0C-4D280D4C405E}">
  <dimension ref="A2:R56"/>
  <sheetViews>
    <sheetView topLeftCell="A4" workbookViewId="0">
      <selection activeCell="O15" sqref="O15"/>
    </sheetView>
  </sheetViews>
  <sheetFormatPr defaultColWidth="9.140625" defaultRowHeight="15" x14ac:dyDescent="0.25"/>
  <cols>
    <col min="1" max="1" width="28.85546875" style="3" customWidth="1"/>
    <col min="2" max="2" width="10" style="3" bestFit="1" customWidth="1"/>
    <col min="3" max="3" width="9.42578125" style="2" bestFit="1" customWidth="1"/>
    <col min="4" max="4" width="11.42578125" style="2" customWidth="1"/>
    <col min="5" max="5" width="8.28515625" style="2" bestFit="1" customWidth="1"/>
    <col min="6" max="6" width="8.28515625" style="2" customWidth="1"/>
    <col min="7" max="7" width="11.140625" style="2" bestFit="1" customWidth="1"/>
    <col min="8" max="8" width="9.7109375" style="2" bestFit="1" customWidth="1"/>
    <col min="9" max="9" width="9.5703125" style="2" customWidth="1"/>
    <col min="10" max="10" width="10.42578125" style="2" customWidth="1"/>
    <col min="11" max="17" width="9.140625" style="2"/>
    <col min="18" max="18" width="23.5703125" style="2" customWidth="1"/>
    <col min="19" max="16384" width="9.140625" style="2"/>
  </cols>
  <sheetData>
    <row r="2" spans="1:10" ht="45.75" customHeight="1" x14ac:dyDescent="0.25">
      <c r="A2" s="1" t="s">
        <v>0</v>
      </c>
      <c r="B2" s="52" t="s">
        <v>1</v>
      </c>
      <c r="C2" s="53"/>
      <c r="D2" s="53"/>
      <c r="E2" s="53"/>
      <c r="F2" s="53"/>
      <c r="G2" s="53"/>
      <c r="H2" s="53"/>
      <c r="I2" s="53"/>
      <c r="J2" s="54"/>
    </row>
    <row r="3" spans="1:10" x14ac:dyDescent="0.25">
      <c r="B3" s="55"/>
      <c r="C3" s="55"/>
      <c r="D3" s="55"/>
      <c r="E3" s="55"/>
      <c r="F3" s="55"/>
      <c r="G3" s="55"/>
      <c r="H3" s="55"/>
      <c r="I3" s="55"/>
      <c r="J3" s="55"/>
    </row>
    <row r="4" spans="1:10" x14ac:dyDescent="0.25">
      <c r="A4" s="4" t="s">
        <v>2</v>
      </c>
      <c r="B4" s="5" t="s">
        <v>3</v>
      </c>
      <c r="C4" s="56" t="s">
        <v>4</v>
      </c>
      <c r="D4" s="56"/>
      <c r="E4" s="56"/>
      <c r="F4" s="56"/>
      <c r="G4" s="56" t="s">
        <v>5</v>
      </c>
      <c r="H4" s="56"/>
      <c r="I4" s="56"/>
      <c r="J4" s="56"/>
    </row>
    <row r="5" spans="1:10" x14ac:dyDescent="0.25">
      <c r="A5" s="6" t="s">
        <v>6</v>
      </c>
      <c r="B5" s="7" t="s">
        <v>7</v>
      </c>
      <c r="C5" s="8">
        <v>1</v>
      </c>
      <c r="D5" s="8">
        <v>2</v>
      </c>
      <c r="E5" s="9">
        <v>3</v>
      </c>
      <c r="F5" s="9">
        <v>4</v>
      </c>
      <c r="G5" s="8">
        <v>5</v>
      </c>
      <c r="H5" s="8">
        <v>6</v>
      </c>
      <c r="I5" s="9">
        <v>7</v>
      </c>
      <c r="J5" s="9">
        <v>8</v>
      </c>
    </row>
    <row r="6" spans="1:10" x14ac:dyDescent="0.25">
      <c r="A6" s="6" t="s">
        <v>8</v>
      </c>
      <c r="B6" s="7" t="s">
        <v>7</v>
      </c>
      <c r="C6" s="10" t="s">
        <v>9</v>
      </c>
      <c r="D6" s="10" t="s">
        <v>9</v>
      </c>
      <c r="E6" s="9" t="s">
        <v>10</v>
      </c>
      <c r="F6" s="9" t="s">
        <v>10</v>
      </c>
      <c r="G6" s="10" t="s">
        <v>11</v>
      </c>
      <c r="H6" s="10" t="s">
        <v>9</v>
      </c>
      <c r="I6" s="9" t="s">
        <v>10</v>
      </c>
      <c r="J6" s="9" t="s">
        <v>10</v>
      </c>
    </row>
    <row r="7" spans="1:10" x14ac:dyDescent="0.25">
      <c r="A7" s="6" t="s">
        <v>12</v>
      </c>
      <c r="B7" s="7" t="s">
        <v>13</v>
      </c>
      <c r="C7" s="8" t="s">
        <v>14</v>
      </c>
      <c r="D7" s="8" t="s">
        <v>14</v>
      </c>
      <c r="E7" s="9" t="s">
        <v>10</v>
      </c>
      <c r="F7" s="9" t="s">
        <v>10</v>
      </c>
      <c r="G7" s="8" t="s">
        <v>15</v>
      </c>
      <c r="H7" s="8" t="s">
        <v>14</v>
      </c>
      <c r="I7" s="9" t="s">
        <v>10</v>
      </c>
      <c r="J7" s="9" t="s">
        <v>10</v>
      </c>
    </row>
    <row r="8" spans="1:10" x14ac:dyDescent="0.25">
      <c r="A8" s="6" t="s">
        <v>16</v>
      </c>
      <c r="B8" s="8" t="s">
        <v>17</v>
      </c>
      <c r="C8" s="11">
        <v>1.9</v>
      </c>
      <c r="D8" s="8">
        <v>1.9</v>
      </c>
      <c r="E8" s="9" t="s">
        <v>10</v>
      </c>
      <c r="F8" s="9" t="s">
        <v>10</v>
      </c>
      <c r="G8" s="8">
        <v>1.9</v>
      </c>
      <c r="H8" s="8">
        <v>1.9</v>
      </c>
      <c r="I8" s="9" t="s">
        <v>10</v>
      </c>
      <c r="J8" s="9" t="s">
        <v>10</v>
      </c>
    </row>
    <row r="9" spans="1:10" x14ac:dyDescent="0.25">
      <c r="A9" s="6" t="s">
        <v>18</v>
      </c>
      <c r="B9" s="8" t="s">
        <v>19</v>
      </c>
      <c r="C9" s="12">
        <v>0.65400000000000003</v>
      </c>
      <c r="D9" s="12">
        <v>0.65400000000000003</v>
      </c>
      <c r="E9" s="9" t="s">
        <v>10</v>
      </c>
      <c r="F9" s="9" t="s">
        <v>10</v>
      </c>
      <c r="G9" s="11">
        <v>1.7</v>
      </c>
      <c r="H9" s="12">
        <v>0.65400000000000003</v>
      </c>
      <c r="I9" s="9" t="s">
        <v>10</v>
      </c>
      <c r="J9" s="9" t="s">
        <v>10</v>
      </c>
    </row>
    <row r="10" spans="1:10" x14ac:dyDescent="0.25">
      <c r="A10" s="6" t="s">
        <v>20</v>
      </c>
      <c r="B10" s="8" t="s">
        <v>21</v>
      </c>
      <c r="C10" s="8">
        <f>C8*C9</f>
        <v>1.2425999999999999</v>
      </c>
      <c r="D10" s="8">
        <f>D8*D9</f>
        <v>1.2425999999999999</v>
      </c>
      <c r="E10" s="9" t="s">
        <v>10</v>
      </c>
      <c r="F10" s="9" t="s">
        <v>10</v>
      </c>
      <c r="G10" s="8">
        <f>G8*G9</f>
        <v>3.23</v>
      </c>
      <c r="H10" s="8">
        <f>H8*H9</f>
        <v>1.2425999999999999</v>
      </c>
      <c r="I10" s="9" t="s">
        <v>10</v>
      </c>
      <c r="J10" s="9" t="s">
        <v>10</v>
      </c>
    </row>
    <row r="11" spans="1:10" x14ac:dyDescent="0.25">
      <c r="A11" s="6" t="s">
        <v>74</v>
      </c>
      <c r="B11" s="8" t="s">
        <v>13</v>
      </c>
      <c r="C11" s="8"/>
      <c r="D11" s="8"/>
      <c r="E11" s="9"/>
      <c r="F11" s="9"/>
      <c r="G11" s="8"/>
      <c r="H11" s="8"/>
      <c r="I11" s="9"/>
      <c r="J11" s="9"/>
    </row>
    <row r="12" spans="1:10" x14ac:dyDescent="0.25">
      <c r="A12" s="6" t="s">
        <v>75</v>
      </c>
      <c r="B12" s="8" t="s">
        <v>13</v>
      </c>
      <c r="C12" s="8"/>
      <c r="D12" s="8"/>
      <c r="E12" s="9"/>
      <c r="F12" s="9"/>
      <c r="G12" s="8"/>
      <c r="H12" s="8"/>
      <c r="I12" s="9"/>
      <c r="J12" s="9"/>
    </row>
    <row r="13" spans="1:10" x14ac:dyDescent="0.25">
      <c r="A13" s="6" t="s">
        <v>76</v>
      </c>
      <c r="B13" s="8" t="s">
        <v>13</v>
      </c>
      <c r="C13" s="8"/>
      <c r="D13" s="8"/>
      <c r="E13" s="9"/>
      <c r="F13" s="9"/>
      <c r="G13" s="8"/>
      <c r="H13" s="8"/>
      <c r="I13" s="9"/>
      <c r="J13" s="9"/>
    </row>
    <row r="14" spans="1:10" x14ac:dyDescent="0.25">
      <c r="A14" s="6" t="s">
        <v>80</v>
      </c>
      <c r="B14" s="8" t="s">
        <v>81</v>
      </c>
      <c r="C14" s="8"/>
      <c r="D14" s="8"/>
      <c r="E14" s="16"/>
      <c r="F14" s="16"/>
      <c r="G14" s="16"/>
      <c r="H14" s="16"/>
      <c r="I14" s="16"/>
      <c r="J14" s="16"/>
    </row>
    <row r="16" spans="1:10" x14ac:dyDescent="0.25">
      <c r="A16" s="4" t="s">
        <v>22</v>
      </c>
      <c r="B16" s="5" t="s">
        <v>3</v>
      </c>
      <c r="C16" s="5">
        <v>1</v>
      </c>
      <c r="D16" s="5">
        <v>2</v>
      </c>
      <c r="E16" s="5">
        <v>3</v>
      </c>
      <c r="F16" s="5">
        <v>4</v>
      </c>
      <c r="G16" s="5">
        <v>5</v>
      </c>
      <c r="H16" s="5">
        <v>6</v>
      </c>
    </row>
    <row r="17" spans="1:18" x14ac:dyDescent="0.25">
      <c r="A17" s="6" t="s">
        <v>23</v>
      </c>
      <c r="B17" s="8" t="s">
        <v>24</v>
      </c>
      <c r="C17" s="8">
        <v>26</v>
      </c>
      <c r="D17" s="8">
        <v>26</v>
      </c>
      <c r="E17" s="8">
        <v>26</v>
      </c>
      <c r="F17" s="8">
        <v>26</v>
      </c>
      <c r="G17" s="8">
        <v>26</v>
      </c>
      <c r="H17" s="8">
        <v>15</v>
      </c>
    </row>
    <row r="18" spans="1:18" ht="16.5" x14ac:dyDescent="0.25">
      <c r="A18" s="6" t="s">
        <v>25</v>
      </c>
      <c r="B18" s="8" t="s">
        <v>26</v>
      </c>
      <c r="C18" s="8">
        <v>190</v>
      </c>
      <c r="D18" s="8">
        <v>200</v>
      </c>
      <c r="E18" s="8">
        <v>210</v>
      </c>
      <c r="F18" s="8">
        <v>220</v>
      </c>
      <c r="G18" s="8">
        <v>230</v>
      </c>
      <c r="H18" s="8">
        <v>230</v>
      </c>
    </row>
    <row r="19" spans="1:18" x14ac:dyDescent="0.25">
      <c r="A19" s="6" t="s">
        <v>27</v>
      </c>
      <c r="B19" s="8" t="s">
        <v>28</v>
      </c>
      <c r="C19" s="11">
        <v>1.68</v>
      </c>
      <c r="D19" s="11">
        <v>1.68</v>
      </c>
      <c r="E19" s="11">
        <v>1.68</v>
      </c>
      <c r="F19" s="11">
        <v>1.68</v>
      </c>
      <c r="G19" s="11">
        <v>1.68</v>
      </c>
      <c r="H19" s="11">
        <v>1.68</v>
      </c>
    </row>
    <row r="20" spans="1:18" x14ac:dyDescent="0.25">
      <c r="A20" s="6" t="s">
        <v>29</v>
      </c>
      <c r="B20" s="8" t="s">
        <v>30</v>
      </c>
      <c r="C20" s="11">
        <v>1.51</v>
      </c>
      <c r="D20" s="11">
        <v>1.51</v>
      </c>
      <c r="E20" s="11">
        <v>1.51</v>
      </c>
      <c r="F20" s="11">
        <v>1.51</v>
      </c>
      <c r="G20" s="11">
        <v>1.51</v>
      </c>
      <c r="H20" s="11">
        <v>1.51</v>
      </c>
    </row>
    <row r="21" spans="1:18" x14ac:dyDescent="0.25">
      <c r="A21" s="6" t="s">
        <v>31</v>
      </c>
      <c r="B21" s="8" t="s">
        <v>32</v>
      </c>
      <c r="C21" s="8" t="s">
        <v>33</v>
      </c>
      <c r="D21" s="8" t="s">
        <v>33</v>
      </c>
      <c r="E21" s="8" t="s">
        <v>33</v>
      </c>
      <c r="F21" s="8" t="s">
        <v>33</v>
      </c>
      <c r="G21" s="8" t="s">
        <v>33</v>
      </c>
      <c r="H21" s="8" t="s">
        <v>33</v>
      </c>
    </row>
    <row r="23" spans="1:18" x14ac:dyDescent="0.25">
      <c r="A23" s="6" t="s">
        <v>34</v>
      </c>
      <c r="B23" s="8"/>
      <c r="C23" s="13">
        <v>88.5</v>
      </c>
      <c r="D23" s="14" t="s">
        <v>35</v>
      </c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5"/>
    </row>
    <row r="24" spans="1:18" x14ac:dyDescent="0.25">
      <c r="A24" s="6" t="s">
        <v>23</v>
      </c>
      <c r="B24" s="8" t="s">
        <v>24</v>
      </c>
      <c r="C24" s="16"/>
      <c r="D24" s="17" t="s">
        <v>36</v>
      </c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5"/>
    </row>
    <row r="25" spans="1:18" ht="16.5" x14ac:dyDescent="0.25">
      <c r="A25" s="6" t="s">
        <v>25</v>
      </c>
      <c r="B25" s="8" t="s">
        <v>26</v>
      </c>
      <c r="C25" s="16"/>
      <c r="D25" s="17" t="s">
        <v>37</v>
      </c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5"/>
    </row>
    <row r="26" spans="1:18" x14ac:dyDescent="0.25">
      <c r="A26" s="6" t="s">
        <v>38</v>
      </c>
      <c r="B26" s="8" t="s">
        <v>39</v>
      </c>
      <c r="C26" s="11">
        <f>C19*C9*C8*0.965</f>
        <v>2.0145031199999996</v>
      </c>
      <c r="D26" s="17" t="s">
        <v>40</v>
      </c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5"/>
    </row>
    <row r="27" spans="1:18" x14ac:dyDescent="0.25">
      <c r="A27" s="6" t="s">
        <v>41</v>
      </c>
      <c r="B27" s="8" t="s">
        <v>39</v>
      </c>
      <c r="C27" s="18">
        <f>(C26/C23)*(C20*2)</f>
        <v>6.8743496298305076E-2</v>
      </c>
      <c r="D27" s="17" t="s">
        <v>36</v>
      </c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5"/>
    </row>
    <row r="28" spans="1:18" x14ac:dyDescent="0.25">
      <c r="A28" s="6" t="s">
        <v>42</v>
      </c>
      <c r="B28" s="8" t="s">
        <v>43</v>
      </c>
      <c r="C28" s="8">
        <v>2</v>
      </c>
      <c r="D28" s="19" t="s">
        <v>36</v>
      </c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1"/>
    </row>
    <row r="30" spans="1:18" x14ac:dyDescent="0.25">
      <c r="A30" s="22" t="s">
        <v>44</v>
      </c>
    </row>
    <row r="31" spans="1:18" x14ac:dyDescent="0.25">
      <c r="A31" s="49" t="s">
        <v>45</v>
      </c>
      <c r="B31" s="50"/>
      <c r="C31" s="50"/>
      <c r="D31" s="50"/>
      <c r="E31" s="50"/>
      <c r="F31" s="50"/>
      <c r="G31" s="50"/>
      <c r="H31" s="50"/>
      <c r="I31" s="50"/>
      <c r="J31" s="50"/>
      <c r="K31" s="50"/>
      <c r="L31" s="50"/>
      <c r="M31" s="50"/>
      <c r="N31" s="50"/>
      <c r="O31" s="50"/>
      <c r="P31" s="50"/>
      <c r="Q31" s="50"/>
      <c r="R31" s="51"/>
    </row>
    <row r="32" spans="1:18" x14ac:dyDescent="0.25">
      <c r="A32" s="49" t="s">
        <v>46</v>
      </c>
      <c r="B32" s="50"/>
      <c r="C32" s="50"/>
      <c r="D32" s="50"/>
      <c r="E32" s="50"/>
      <c r="F32" s="50"/>
      <c r="G32" s="50"/>
      <c r="H32" s="50"/>
      <c r="I32" s="50"/>
      <c r="J32" s="50"/>
      <c r="K32" s="50"/>
      <c r="L32" s="50"/>
      <c r="M32" s="50"/>
      <c r="N32" s="50"/>
      <c r="O32" s="50"/>
      <c r="P32" s="50"/>
      <c r="Q32" s="50"/>
      <c r="R32" s="51"/>
    </row>
    <row r="33" spans="1:18" x14ac:dyDescent="0.25">
      <c r="A33" s="49"/>
      <c r="B33" s="50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1"/>
    </row>
    <row r="34" spans="1:18" x14ac:dyDescent="0.25">
      <c r="A34" s="49"/>
      <c r="B34" s="50"/>
      <c r="C34" s="50"/>
      <c r="D34" s="50"/>
      <c r="E34" s="50"/>
      <c r="F34" s="50"/>
      <c r="G34" s="50"/>
      <c r="H34" s="50"/>
      <c r="I34" s="50"/>
      <c r="J34" s="50"/>
      <c r="K34" s="50"/>
      <c r="L34" s="50"/>
      <c r="M34" s="50"/>
      <c r="N34" s="50"/>
      <c r="O34" s="50"/>
      <c r="P34" s="50"/>
      <c r="Q34" s="50"/>
      <c r="R34" s="51"/>
    </row>
    <row r="35" spans="1:18" x14ac:dyDescent="0.25">
      <c r="A35" s="49"/>
      <c r="B35" s="50"/>
      <c r="C35" s="50"/>
      <c r="D35" s="50"/>
      <c r="E35" s="50"/>
      <c r="F35" s="50"/>
      <c r="G35" s="50"/>
      <c r="H35" s="50"/>
      <c r="I35" s="50"/>
      <c r="J35" s="50"/>
      <c r="K35" s="50"/>
      <c r="L35" s="50"/>
      <c r="M35" s="50"/>
      <c r="N35" s="50"/>
      <c r="O35" s="50"/>
      <c r="P35" s="50"/>
      <c r="Q35" s="50"/>
      <c r="R35" s="51"/>
    </row>
    <row r="36" spans="1:18" x14ac:dyDescent="0.25">
      <c r="A36" s="49"/>
      <c r="B36" s="50"/>
      <c r="C36" s="50"/>
      <c r="D36" s="50"/>
      <c r="E36" s="50"/>
      <c r="F36" s="50"/>
      <c r="G36" s="50"/>
      <c r="H36" s="50"/>
      <c r="I36" s="50"/>
      <c r="J36" s="50"/>
      <c r="K36" s="50"/>
      <c r="L36" s="50"/>
      <c r="M36" s="50"/>
      <c r="N36" s="50"/>
      <c r="O36" s="50"/>
      <c r="P36" s="50"/>
      <c r="Q36" s="50"/>
      <c r="R36" s="51"/>
    </row>
    <row r="37" spans="1:18" x14ac:dyDescent="0.25">
      <c r="A37" s="49"/>
      <c r="B37" s="50"/>
      <c r="C37" s="50"/>
      <c r="D37" s="50"/>
      <c r="E37" s="50"/>
      <c r="F37" s="50"/>
      <c r="G37" s="50"/>
      <c r="H37" s="50"/>
      <c r="I37" s="50"/>
      <c r="J37" s="50"/>
      <c r="K37" s="50"/>
      <c r="L37" s="50"/>
      <c r="M37" s="50"/>
      <c r="N37" s="50"/>
      <c r="O37" s="50"/>
      <c r="P37" s="50"/>
      <c r="Q37" s="50"/>
      <c r="R37" s="51"/>
    </row>
    <row r="38" spans="1:18" x14ac:dyDescent="0.25">
      <c r="A38" s="2"/>
    </row>
    <row r="39" spans="1:18" x14ac:dyDescent="0.25">
      <c r="A39" s="2"/>
    </row>
    <row r="40" spans="1:18" x14ac:dyDescent="0.25">
      <c r="A40" s="2"/>
    </row>
    <row r="41" spans="1:18" x14ac:dyDescent="0.25">
      <c r="A41" s="2"/>
    </row>
    <row r="42" spans="1:18" x14ac:dyDescent="0.25">
      <c r="A42" s="2"/>
    </row>
    <row r="43" spans="1:18" x14ac:dyDescent="0.25">
      <c r="A43" s="2"/>
    </row>
    <row r="44" spans="1:18" x14ac:dyDescent="0.25">
      <c r="A44" s="2"/>
    </row>
    <row r="45" spans="1:18" x14ac:dyDescent="0.25">
      <c r="A45" s="2"/>
    </row>
    <row r="46" spans="1:18" x14ac:dyDescent="0.25">
      <c r="A46" s="2"/>
    </row>
    <row r="47" spans="1:18" x14ac:dyDescent="0.25">
      <c r="A47" s="2"/>
    </row>
    <row r="48" spans="1:18" x14ac:dyDescent="0.25">
      <c r="A48" s="2"/>
    </row>
    <row r="49" spans="1:2" x14ac:dyDescent="0.25">
      <c r="A49" s="2"/>
    </row>
    <row r="50" spans="1:2" x14ac:dyDescent="0.25">
      <c r="A50" s="2"/>
    </row>
    <row r="51" spans="1:2" x14ac:dyDescent="0.25">
      <c r="A51" s="2"/>
    </row>
    <row r="52" spans="1:2" x14ac:dyDescent="0.25">
      <c r="A52" s="2"/>
    </row>
    <row r="56" spans="1:2" x14ac:dyDescent="0.25">
      <c r="A56" s="3" t="s">
        <v>47</v>
      </c>
      <c r="B56" s="3" t="s">
        <v>43</v>
      </c>
    </row>
  </sheetData>
  <mergeCells count="11">
    <mergeCell ref="A32:R32"/>
    <mergeCell ref="B2:J2"/>
    <mergeCell ref="B3:J3"/>
    <mergeCell ref="C4:F4"/>
    <mergeCell ref="G4:J4"/>
    <mergeCell ref="A31:R31"/>
    <mergeCell ref="A33:R33"/>
    <mergeCell ref="A34:R34"/>
    <mergeCell ref="A35:R35"/>
    <mergeCell ref="A36:R36"/>
    <mergeCell ref="A37:R3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30CCD-FF91-4AC9-9620-36DE41DD82FA}">
  <dimension ref="A1:M58"/>
  <sheetViews>
    <sheetView tabSelected="1" workbookViewId="0">
      <selection activeCell="Q23" sqref="Q23"/>
    </sheetView>
  </sheetViews>
  <sheetFormatPr defaultRowHeight="15" x14ac:dyDescent="0.25"/>
  <cols>
    <col min="1" max="1" width="13.140625" customWidth="1"/>
    <col min="2" max="2" width="6" bestFit="1" customWidth="1"/>
    <col min="3" max="4" width="15.5703125" bestFit="1" customWidth="1"/>
    <col min="5" max="5" width="12.7109375" bestFit="1" customWidth="1"/>
    <col min="6" max="6" width="8.85546875" bestFit="1" customWidth="1"/>
    <col min="7" max="7" width="8" bestFit="1" customWidth="1"/>
    <col min="8" max="8" width="8.28515625" bestFit="1" customWidth="1"/>
    <col min="9" max="9" width="8.5703125" bestFit="1" customWidth="1"/>
    <col min="10" max="10" width="10.7109375" bestFit="1" customWidth="1"/>
    <col min="11" max="11" width="10.7109375" customWidth="1"/>
    <col min="12" max="12" width="18.42578125" customWidth="1"/>
    <col min="13" max="13" width="21.85546875" bestFit="1" customWidth="1"/>
  </cols>
  <sheetData>
    <row r="1" spans="1:13" ht="18" x14ac:dyDescent="0.25">
      <c r="A1" s="47" t="s">
        <v>48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</row>
    <row r="2" spans="1:13" x14ac:dyDescent="0.25">
      <c r="A2" s="48" t="s">
        <v>49</v>
      </c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</row>
    <row r="3" spans="1:13" x14ac:dyDescent="0.25">
      <c r="A3" s="45" t="s">
        <v>50</v>
      </c>
      <c r="B3" s="46"/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</row>
    <row r="4" spans="1:13" x14ac:dyDescent="0.25">
      <c r="A4" s="45" t="s">
        <v>51</v>
      </c>
      <c r="B4" s="46"/>
      <c r="C4" s="46"/>
      <c r="D4" s="46"/>
      <c r="E4" s="46"/>
      <c r="F4" s="46"/>
      <c r="G4" s="46"/>
      <c r="H4" s="46"/>
      <c r="I4" s="46"/>
      <c r="J4" s="46"/>
      <c r="K4" s="46"/>
      <c r="L4" s="46"/>
      <c r="M4" s="46"/>
    </row>
    <row r="5" spans="1:13" x14ac:dyDescent="0.25">
      <c r="A5" s="45" t="s">
        <v>52</v>
      </c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</row>
    <row r="6" spans="1:13" x14ac:dyDescent="0.25">
      <c r="A6" s="45" t="s">
        <v>53</v>
      </c>
      <c r="B6" s="46"/>
      <c r="C6" s="46"/>
      <c r="D6" s="46"/>
      <c r="E6" s="46"/>
      <c r="F6" s="46"/>
      <c r="G6" s="46"/>
      <c r="H6" s="46"/>
      <c r="I6" s="46"/>
      <c r="J6" s="46"/>
      <c r="K6" s="46"/>
      <c r="L6" s="46"/>
      <c r="M6" s="46"/>
    </row>
    <row r="7" spans="1:13" ht="30.75" customHeight="1" x14ac:dyDescent="0.25">
      <c r="A7" s="45" t="s">
        <v>54</v>
      </c>
      <c r="B7" s="46"/>
      <c r="C7" s="46"/>
      <c r="D7" s="46"/>
      <c r="E7" s="46"/>
      <c r="F7" s="46"/>
      <c r="G7" s="46"/>
      <c r="H7" s="46"/>
      <c r="I7" s="46"/>
      <c r="J7" s="46"/>
      <c r="K7" s="46"/>
      <c r="L7" s="46"/>
      <c r="M7" s="46"/>
    </row>
    <row r="8" spans="1:13" x14ac:dyDescent="0.25">
      <c r="A8" s="45" t="s">
        <v>55</v>
      </c>
      <c r="B8" s="46"/>
      <c r="C8" s="46"/>
      <c r="D8" s="46"/>
      <c r="E8" s="46"/>
      <c r="F8" s="46"/>
      <c r="G8" s="46"/>
      <c r="H8" s="46"/>
      <c r="I8" s="46"/>
      <c r="J8" s="46"/>
      <c r="K8" s="46"/>
      <c r="L8" s="46"/>
      <c r="M8" s="46"/>
    </row>
    <row r="10" spans="1:13" ht="38.25" x14ac:dyDescent="0.25">
      <c r="A10" s="23" t="s">
        <v>56</v>
      </c>
      <c r="B10" s="23" t="s">
        <v>57</v>
      </c>
      <c r="C10" s="23" t="s">
        <v>58</v>
      </c>
      <c r="D10" s="23" t="s">
        <v>59</v>
      </c>
      <c r="E10" s="23" t="s">
        <v>60</v>
      </c>
      <c r="F10" s="23" t="s">
        <v>61</v>
      </c>
      <c r="G10" s="23" t="s">
        <v>62</v>
      </c>
      <c r="H10" s="23" t="s">
        <v>77</v>
      </c>
      <c r="I10" s="23" t="s">
        <v>78</v>
      </c>
      <c r="J10" s="23" t="s">
        <v>79</v>
      </c>
      <c r="K10" s="23" t="s">
        <v>112</v>
      </c>
      <c r="L10" s="23" t="s">
        <v>113</v>
      </c>
      <c r="M10" s="23" t="s">
        <v>63</v>
      </c>
    </row>
    <row r="11" spans="1:13" ht="30" x14ac:dyDescent="0.25">
      <c r="A11" s="41">
        <v>1</v>
      </c>
      <c r="B11" s="42" t="s">
        <v>114</v>
      </c>
      <c r="C11" s="59">
        <v>46280.430555555555</v>
      </c>
      <c r="D11" s="59">
        <v>46282.618055555555</v>
      </c>
      <c r="E11" s="40">
        <v>280</v>
      </c>
      <c r="F11" s="40">
        <v>40</v>
      </c>
      <c r="G11" s="24" t="s">
        <v>64</v>
      </c>
      <c r="H11" s="25">
        <v>120</v>
      </c>
      <c r="I11" s="25">
        <v>10</v>
      </c>
      <c r="J11" s="25">
        <v>20</v>
      </c>
      <c r="K11" s="25">
        <v>1</v>
      </c>
      <c r="L11" s="25">
        <v>1</v>
      </c>
      <c r="M11" s="26" t="s">
        <v>65</v>
      </c>
    </row>
    <row r="12" spans="1:13" x14ac:dyDescent="0.25">
      <c r="A12" s="34"/>
      <c r="B12" s="43"/>
      <c r="C12" s="60"/>
      <c r="D12" s="60"/>
      <c r="E12" s="34"/>
      <c r="F12" s="34"/>
      <c r="G12" s="24" t="s">
        <v>66</v>
      </c>
      <c r="H12" s="25">
        <v>150</v>
      </c>
      <c r="I12" s="25">
        <v>10</v>
      </c>
      <c r="J12" s="25">
        <v>20</v>
      </c>
      <c r="K12" s="25">
        <v>1</v>
      </c>
      <c r="L12" s="25">
        <v>1</v>
      </c>
      <c r="M12" s="26"/>
    </row>
    <row r="13" spans="1:13" x14ac:dyDescent="0.25">
      <c r="A13" s="34"/>
      <c r="B13" s="43"/>
      <c r="C13" s="60"/>
      <c r="D13" s="60"/>
      <c r="E13" s="34"/>
      <c r="F13" s="34"/>
      <c r="G13" s="24" t="s">
        <v>67</v>
      </c>
      <c r="H13" s="25">
        <v>120</v>
      </c>
      <c r="I13" s="25">
        <v>15</v>
      </c>
      <c r="J13" s="25">
        <v>20</v>
      </c>
      <c r="K13" s="25">
        <v>1</v>
      </c>
      <c r="L13" s="25">
        <v>1</v>
      </c>
      <c r="M13" s="26"/>
    </row>
    <row r="14" spans="1:13" x14ac:dyDescent="0.25">
      <c r="A14" s="35"/>
      <c r="B14" s="43"/>
      <c r="C14" s="61"/>
      <c r="D14" s="61"/>
      <c r="E14" s="35"/>
      <c r="F14" s="35"/>
      <c r="G14" s="24" t="s">
        <v>68</v>
      </c>
      <c r="H14" s="25">
        <v>150</v>
      </c>
      <c r="I14" s="25">
        <v>15</v>
      </c>
      <c r="J14" s="25">
        <v>20</v>
      </c>
      <c r="K14" s="25">
        <v>1</v>
      </c>
      <c r="L14" s="25">
        <v>1</v>
      </c>
      <c r="M14" s="26"/>
    </row>
    <row r="15" spans="1:13" x14ac:dyDescent="0.25">
      <c r="A15" s="41">
        <v>2</v>
      </c>
      <c r="B15" s="43"/>
      <c r="C15" s="36"/>
      <c r="D15" s="36"/>
      <c r="E15" s="36"/>
      <c r="F15" s="36"/>
      <c r="G15" s="24" t="s">
        <v>64</v>
      </c>
      <c r="H15" s="27"/>
      <c r="I15" s="27"/>
      <c r="J15" s="27"/>
      <c r="K15" s="27"/>
      <c r="L15" s="27"/>
      <c r="M15" s="26"/>
    </row>
    <row r="16" spans="1:13" x14ac:dyDescent="0.25">
      <c r="A16" s="34"/>
      <c r="B16" s="43"/>
      <c r="C16" s="34"/>
      <c r="D16" s="34"/>
      <c r="E16" s="34"/>
      <c r="F16" s="34"/>
      <c r="G16" s="24" t="s">
        <v>66</v>
      </c>
      <c r="H16" s="27"/>
      <c r="I16" s="27"/>
      <c r="J16" s="27"/>
      <c r="K16" s="27"/>
      <c r="L16" s="27"/>
      <c r="M16" s="26"/>
    </row>
    <row r="17" spans="1:13" x14ac:dyDescent="0.25">
      <c r="A17" s="34"/>
      <c r="B17" s="43"/>
      <c r="C17" s="34"/>
      <c r="D17" s="34"/>
      <c r="E17" s="34"/>
      <c r="F17" s="34"/>
      <c r="G17" s="24" t="s">
        <v>67</v>
      </c>
      <c r="H17" s="27"/>
      <c r="I17" s="27"/>
      <c r="J17" s="27"/>
      <c r="K17" s="27"/>
      <c r="L17" s="27"/>
      <c r="M17" s="26"/>
    </row>
    <row r="18" spans="1:13" x14ac:dyDescent="0.25">
      <c r="A18" s="35"/>
      <c r="B18" s="43"/>
      <c r="C18" s="35"/>
      <c r="D18" s="35"/>
      <c r="E18" s="35"/>
      <c r="F18" s="35"/>
      <c r="G18" s="24" t="s">
        <v>68</v>
      </c>
      <c r="H18" s="27"/>
      <c r="I18" s="27"/>
      <c r="J18" s="27"/>
      <c r="K18" s="27"/>
      <c r="L18" s="27"/>
      <c r="M18" s="26"/>
    </row>
    <row r="19" spans="1:13" x14ac:dyDescent="0.25">
      <c r="A19" s="41">
        <v>3</v>
      </c>
      <c r="B19" s="43"/>
      <c r="C19" s="36"/>
      <c r="D19" s="36"/>
      <c r="E19" s="36"/>
      <c r="F19" s="36"/>
      <c r="G19" s="24" t="s">
        <v>64</v>
      </c>
      <c r="H19" s="27"/>
      <c r="I19" s="27"/>
      <c r="J19" s="27"/>
      <c r="K19" s="27"/>
      <c r="L19" s="27"/>
      <c r="M19" s="26"/>
    </row>
    <row r="20" spans="1:13" x14ac:dyDescent="0.25">
      <c r="A20" s="34"/>
      <c r="B20" s="43"/>
      <c r="C20" s="34"/>
      <c r="D20" s="34"/>
      <c r="E20" s="34"/>
      <c r="F20" s="34"/>
      <c r="G20" s="24" t="s">
        <v>66</v>
      </c>
      <c r="H20" s="27"/>
      <c r="I20" s="27"/>
      <c r="J20" s="27"/>
      <c r="K20" s="27"/>
      <c r="L20" s="27"/>
      <c r="M20" s="26"/>
    </row>
    <row r="21" spans="1:13" x14ac:dyDescent="0.25">
      <c r="A21" s="34"/>
      <c r="B21" s="43"/>
      <c r="C21" s="34"/>
      <c r="D21" s="34"/>
      <c r="E21" s="34"/>
      <c r="F21" s="34"/>
      <c r="G21" s="24" t="s">
        <v>67</v>
      </c>
      <c r="H21" s="27"/>
      <c r="I21" s="27"/>
      <c r="J21" s="27"/>
      <c r="K21" s="27"/>
      <c r="L21" s="27"/>
      <c r="M21" s="26"/>
    </row>
    <row r="22" spans="1:13" x14ac:dyDescent="0.25">
      <c r="A22" s="35"/>
      <c r="B22" s="43"/>
      <c r="C22" s="35"/>
      <c r="D22" s="35"/>
      <c r="E22" s="35"/>
      <c r="F22" s="35"/>
      <c r="G22" s="24" t="s">
        <v>68</v>
      </c>
      <c r="H22" s="27"/>
      <c r="I22" s="27"/>
      <c r="J22" s="27"/>
      <c r="K22" s="27"/>
      <c r="L22" s="27"/>
      <c r="M22" s="26"/>
    </row>
    <row r="23" spans="1:13" x14ac:dyDescent="0.25">
      <c r="A23" s="41">
        <v>4</v>
      </c>
      <c r="B23" s="43"/>
      <c r="C23" s="36"/>
      <c r="D23" s="36"/>
      <c r="E23" s="36"/>
      <c r="F23" s="36"/>
      <c r="G23" s="24" t="s">
        <v>64</v>
      </c>
      <c r="H23" s="27"/>
      <c r="I23" s="27"/>
      <c r="J23" s="27"/>
      <c r="K23" s="27"/>
      <c r="L23" s="27"/>
      <c r="M23" s="26"/>
    </row>
    <row r="24" spans="1:13" x14ac:dyDescent="0.25">
      <c r="A24" s="34"/>
      <c r="B24" s="43"/>
      <c r="C24" s="34"/>
      <c r="D24" s="34"/>
      <c r="E24" s="34"/>
      <c r="F24" s="34"/>
      <c r="G24" s="24" t="s">
        <v>66</v>
      </c>
      <c r="H24" s="27"/>
      <c r="I24" s="27"/>
      <c r="J24" s="27"/>
      <c r="K24" s="27"/>
      <c r="L24" s="27"/>
      <c r="M24" s="26"/>
    </row>
    <row r="25" spans="1:13" x14ac:dyDescent="0.25">
      <c r="A25" s="34"/>
      <c r="B25" s="43"/>
      <c r="C25" s="34"/>
      <c r="D25" s="34"/>
      <c r="E25" s="34"/>
      <c r="F25" s="34"/>
      <c r="G25" s="24" t="s">
        <v>67</v>
      </c>
      <c r="H25" s="27"/>
      <c r="I25" s="27"/>
      <c r="J25" s="27"/>
      <c r="K25" s="27"/>
      <c r="L25" s="27"/>
      <c r="M25" s="26"/>
    </row>
    <row r="26" spans="1:13" x14ac:dyDescent="0.25">
      <c r="A26" s="35"/>
      <c r="B26" s="43"/>
      <c r="C26" s="35"/>
      <c r="D26" s="35"/>
      <c r="E26" s="35"/>
      <c r="F26" s="35"/>
      <c r="G26" s="24" t="s">
        <v>68</v>
      </c>
      <c r="H26" s="27"/>
      <c r="I26" s="27"/>
      <c r="J26" s="27"/>
      <c r="K26" s="27"/>
      <c r="L26" s="27"/>
      <c r="M26" s="26"/>
    </row>
    <row r="27" spans="1:13" x14ac:dyDescent="0.25">
      <c r="A27" s="41">
        <v>5</v>
      </c>
      <c r="B27" s="43"/>
      <c r="C27" s="36"/>
      <c r="D27" s="36"/>
      <c r="E27" s="36"/>
      <c r="F27" s="36"/>
      <c r="G27" s="24" t="s">
        <v>64</v>
      </c>
      <c r="H27" s="27"/>
      <c r="I27" s="27"/>
      <c r="J27" s="27"/>
      <c r="K27" s="27"/>
      <c r="L27" s="27"/>
      <c r="M27" s="26"/>
    </row>
    <row r="28" spans="1:13" x14ac:dyDescent="0.25">
      <c r="A28" s="34"/>
      <c r="B28" s="43"/>
      <c r="C28" s="34"/>
      <c r="D28" s="34"/>
      <c r="E28" s="34"/>
      <c r="F28" s="34"/>
      <c r="G28" s="24" t="s">
        <v>66</v>
      </c>
      <c r="H28" s="27"/>
      <c r="I28" s="27"/>
      <c r="J28" s="27"/>
      <c r="K28" s="27"/>
      <c r="L28" s="27"/>
      <c r="M28" s="26"/>
    </row>
    <row r="29" spans="1:13" x14ac:dyDescent="0.25">
      <c r="A29" s="34"/>
      <c r="B29" s="43"/>
      <c r="C29" s="34"/>
      <c r="D29" s="34"/>
      <c r="E29" s="34"/>
      <c r="F29" s="34"/>
      <c r="G29" s="24" t="s">
        <v>67</v>
      </c>
      <c r="H29" s="27"/>
      <c r="I29" s="27"/>
      <c r="J29" s="27"/>
      <c r="K29" s="27"/>
      <c r="L29" s="27"/>
      <c r="M29" s="26"/>
    </row>
    <row r="30" spans="1:13" x14ac:dyDescent="0.25">
      <c r="A30" s="35"/>
      <c r="B30" s="43"/>
      <c r="C30" s="35"/>
      <c r="D30" s="35"/>
      <c r="E30" s="35"/>
      <c r="F30" s="35"/>
      <c r="G30" s="24" t="s">
        <v>68</v>
      </c>
      <c r="H30" s="27"/>
      <c r="I30" s="27"/>
      <c r="J30" s="27"/>
      <c r="K30" s="27"/>
      <c r="L30" s="27"/>
      <c r="M30" s="26"/>
    </row>
    <row r="31" spans="1:13" x14ac:dyDescent="0.25">
      <c r="A31" s="41">
        <v>6</v>
      </c>
      <c r="B31" s="43"/>
      <c r="C31" s="36"/>
      <c r="D31" s="36"/>
      <c r="E31" s="36"/>
      <c r="F31" s="36"/>
      <c r="G31" s="24" t="s">
        <v>64</v>
      </c>
      <c r="H31" s="27"/>
      <c r="I31" s="27"/>
      <c r="J31" s="27"/>
      <c r="K31" s="27"/>
      <c r="L31" s="27"/>
      <c r="M31" s="26"/>
    </row>
    <row r="32" spans="1:13" x14ac:dyDescent="0.25">
      <c r="A32" s="34"/>
      <c r="B32" s="43"/>
      <c r="C32" s="34"/>
      <c r="D32" s="34"/>
      <c r="E32" s="34"/>
      <c r="F32" s="34"/>
      <c r="G32" s="24" t="s">
        <v>66</v>
      </c>
      <c r="H32" s="27"/>
      <c r="I32" s="27"/>
      <c r="J32" s="27"/>
      <c r="K32" s="27"/>
      <c r="L32" s="27"/>
      <c r="M32" s="26"/>
    </row>
    <row r="33" spans="1:13" x14ac:dyDescent="0.25">
      <c r="A33" s="34"/>
      <c r="B33" s="43"/>
      <c r="C33" s="34"/>
      <c r="D33" s="34"/>
      <c r="E33" s="34"/>
      <c r="F33" s="34"/>
      <c r="G33" s="24" t="s">
        <v>67</v>
      </c>
      <c r="H33" s="27"/>
      <c r="I33" s="27"/>
      <c r="J33" s="27"/>
      <c r="K33" s="27"/>
      <c r="L33" s="27"/>
      <c r="M33" s="26"/>
    </row>
    <row r="34" spans="1:13" x14ac:dyDescent="0.25">
      <c r="A34" s="35"/>
      <c r="B34" s="44"/>
      <c r="C34" s="35"/>
      <c r="D34" s="35"/>
      <c r="E34" s="35"/>
      <c r="F34" s="35"/>
      <c r="G34" s="24" t="s">
        <v>68</v>
      </c>
      <c r="H34" s="27"/>
      <c r="I34" s="27"/>
      <c r="J34" s="27"/>
      <c r="K34" s="27"/>
      <c r="L34" s="27"/>
      <c r="M34" s="26"/>
    </row>
    <row r="35" spans="1:13" ht="45" x14ac:dyDescent="0.25">
      <c r="A35" s="33">
        <v>1</v>
      </c>
      <c r="B35" s="37" t="s">
        <v>115</v>
      </c>
      <c r="C35" s="59">
        <v>46280.430555555555</v>
      </c>
      <c r="D35" s="59">
        <v>46282.618055555555</v>
      </c>
      <c r="E35" s="40">
        <v>300</v>
      </c>
      <c r="F35" s="40">
        <v>60</v>
      </c>
      <c r="G35" s="28" t="s">
        <v>69</v>
      </c>
      <c r="H35" s="25">
        <v>100</v>
      </c>
      <c r="I35" s="25">
        <v>8</v>
      </c>
      <c r="J35" s="25">
        <v>15</v>
      </c>
      <c r="K35" s="25">
        <v>2.1</v>
      </c>
      <c r="L35" s="25">
        <v>2.1</v>
      </c>
      <c r="M35" s="26" t="s">
        <v>70</v>
      </c>
    </row>
    <row r="36" spans="1:13" x14ac:dyDescent="0.25">
      <c r="A36" s="34"/>
      <c r="B36" s="38"/>
      <c r="C36" s="60"/>
      <c r="D36" s="60"/>
      <c r="E36" s="34"/>
      <c r="F36" s="34"/>
      <c r="G36" s="28" t="s">
        <v>71</v>
      </c>
      <c r="H36" s="25">
        <v>100</v>
      </c>
      <c r="I36" s="25">
        <v>12</v>
      </c>
      <c r="J36" s="25">
        <v>15</v>
      </c>
      <c r="K36" s="25">
        <v>2.1</v>
      </c>
      <c r="L36" s="25">
        <v>2.1</v>
      </c>
      <c r="M36" s="26"/>
    </row>
    <row r="37" spans="1:13" x14ac:dyDescent="0.25">
      <c r="A37" s="34"/>
      <c r="B37" s="38"/>
      <c r="C37" s="60"/>
      <c r="D37" s="60"/>
      <c r="E37" s="34"/>
      <c r="F37" s="34"/>
      <c r="G37" s="28" t="s">
        <v>72</v>
      </c>
      <c r="H37" s="25">
        <v>140</v>
      </c>
      <c r="I37" s="25">
        <v>8</v>
      </c>
      <c r="J37" s="25">
        <v>15</v>
      </c>
      <c r="K37" s="25">
        <v>2.1</v>
      </c>
      <c r="L37" s="25">
        <v>2.1</v>
      </c>
      <c r="M37" s="26"/>
    </row>
    <row r="38" spans="1:13" x14ac:dyDescent="0.25">
      <c r="A38" s="35"/>
      <c r="B38" s="38"/>
      <c r="C38" s="61"/>
      <c r="D38" s="61"/>
      <c r="E38" s="35"/>
      <c r="F38" s="35"/>
      <c r="G38" s="28" t="s">
        <v>73</v>
      </c>
      <c r="H38" s="25">
        <v>140</v>
      </c>
      <c r="I38" s="25">
        <v>12</v>
      </c>
      <c r="J38" s="25">
        <v>15</v>
      </c>
      <c r="K38" s="25">
        <v>2.1</v>
      </c>
      <c r="L38" s="25">
        <v>2.1</v>
      </c>
      <c r="M38" s="26"/>
    </row>
    <row r="39" spans="1:13" x14ac:dyDescent="0.25">
      <c r="A39" s="33">
        <v>2</v>
      </c>
      <c r="B39" s="38"/>
      <c r="C39" s="36"/>
      <c r="D39" s="36"/>
      <c r="E39" s="36"/>
      <c r="F39" s="36"/>
      <c r="G39" s="28" t="s">
        <v>69</v>
      </c>
      <c r="H39" s="27"/>
      <c r="I39" s="27"/>
      <c r="J39" s="27"/>
      <c r="K39" s="27"/>
      <c r="L39" s="27"/>
      <c r="M39" s="26"/>
    </row>
    <row r="40" spans="1:13" x14ac:dyDescent="0.25">
      <c r="A40" s="34"/>
      <c r="B40" s="38"/>
      <c r="C40" s="34"/>
      <c r="D40" s="34"/>
      <c r="E40" s="34"/>
      <c r="F40" s="34"/>
      <c r="G40" s="28" t="s">
        <v>71</v>
      </c>
      <c r="H40" s="27"/>
      <c r="I40" s="27"/>
      <c r="J40" s="27"/>
      <c r="K40" s="27"/>
      <c r="L40" s="27"/>
      <c r="M40" s="26"/>
    </row>
    <row r="41" spans="1:13" x14ac:dyDescent="0.25">
      <c r="A41" s="34"/>
      <c r="B41" s="38"/>
      <c r="C41" s="34"/>
      <c r="D41" s="34"/>
      <c r="E41" s="34"/>
      <c r="F41" s="34"/>
      <c r="G41" s="28" t="s">
        <v>72</v>
      </c>
      <c r="H41" s="27"/>
      <c r="I41" s="27"/>
      <c r="J41" s="27"/>
      <c r="K41" s="27"/>
      <c r="L41" s="27"/>
      <c r="M41" s="26"/>
    </row>
    <row r="42" spans="1:13" x14ac:dyDescent="0.25">
      <c r="A42" s="35"/>
      <c r="B42" s="38"/>
      <c r="C42" s="35"/>
      <c r="D42" s="35"/>
      <c r="E42" s="35"/>
      <c r="F42" s="35"/>
      <c r="G42" s="28" t="s">
        <v>73</v>
      </c>
      <c r="H42" s="27"/>
      <c r="I42" s="27"/>
      <c r="J42" s="27"/>
      <c r="K42" s="27"/>
      <c r="L42" s="27"/>
      <c r="M42" s="26"/>
    </row>
    <row r="43" spans="1:13" x14ac:dyDescent="0.25">
      <c r="A43" s="33">
        <v>3</v>
      </c>
      <c r="B43" s="38"/>
      <c r="C43" s="36"/>
      <c r="D43" s="36"/>
      <c r="E43" s="36"/>
      <c r="F43" s="36"/>
      <c r="G43" s="28" t="s">
        <v>69</v>
      </c>
      <c r="H43" s="27"/>
      <c r="I43" s="27"/>
      <c r="J43" s="27"/>
      <c r="K43" s="27"/>
      <c r="L43" s="27"/>
      <c r="M43" s="26"/>
    </row>
    <row r="44" spans="1:13" x14ac:dyDescent="0.25">
      <c r="A44" s="34"/>
      <c r="B44" s="38"/>
      <c r="C44" s="34"/>
      <c r="D44" s="34"/>
      <c r="E44" s="34"/>
      <c r="F44" s="34"/>
      <c r="G44" s="28" t="s">
        <v>71</v>
      </c>
      <c r="H44" s="27"/>
      <c r="I44" s="27"/>
      <c r="J44" s="27"/>
      <c r="K44" s="27"/>
      <c r="L44" s="27"/>
      <c r="M44" s="26"/>
    </row>
    <row r="45" spans="1:13" x14ac:dyDescent="0.25">
      <c r="A45" s="34"/>
      <c r="B45" s="38"/>
      <c r="C45" s="34"/>
      <c r="D45" s="34"/>
      <c r="E45" s="34"/>
      <c r="F45" s="34"/>
      <c r="G45" s="28" t="s">
        <v>72</v>
      </c>
      <c r="H45" s="27"/>
      <c r="I45" s="27"/>
      <c r="J45" s="27"/>
      <c r="K45" s="27"/>
      <c r="L45" s="27"/>
      <c r="M45" s="26"/>
    </row>
    <row r="46" spans="1:13" x14ac:dyDescent="0.25">
      <c r="A46" s="35"/>
      <c r="B46" s="38"/>
      <c r="C46" s="35"/>
      <c r="D46" s="35"/>
      <c r="E46" s="35"/>
      <c r="F46" s="35"/>
      <c r="G46" s="28" t="s">
        <v>73</v>
      </c>
      <c r="H46" s="27"/>
      <c r="I46" s="27"/>
      <c r="J46" s="27"/>
      <c r="K46" s="27"/>
      <c r="L46" s="27"/>
      <c r="M46" s="26"/>
    </row>
    <row r="47" spans="1:13" x14ac:dyDescent="0.25">
      <c r="A47" s="33">
        <v>4</v>
      </c>
      <c r="B47" s="38"/>
      <c r="C47" s="36"/>
      <c r="D47" s="36"/>
      <c r="E47" s="36"/>
      <c r="F47" s="36"/>
      <c r="G47" s="28" t="s">
        <v>69</v>
      </c>
      <c r="H47" s="27"/>
      <c r="I47" s="27"/>
      <c r="J47" s="27"/>
      <c r="K47" s="27"/>
      <c r="L47" s="27"/>
      <c r="M47" s="26"/>
    </row>
    <row r="48" spans="1:13" x14ac:dyDescent="0.25">
      <c r="A48" s="34"/>
      <c r="B48" s="38"/>
      <c r="C48" s="34"/>
      <c r="D48" s="34"/>
      <c r="E48" s="34"/>
      <c r="F48" s="34"/>
      <c r="G48" s="28" t="s">
        <v>71</v>
      </c>
      <c r="H48" s="27"/>
      <c r="I48" s="27"/>
      <c r="J48" s="27"/>
      <c r="K48" s="27"/>
      <c r="L48" s="27"/>
      <c r="M48" s="26"/>
    </row>
    <row r="49" spans="1:13" x14ac:dyDescent="0.25">
      <c r="A49" s="34"/>
      <c r="B49" s="38"/>
      <c r="C49" s="34"/>
      <c r="D49" s="34"/>
      <c r="E49" s="34"/>
      <c r="F49" s="34"/>
      <c r="G49" s="28" t="s">
        <v>72</v>
      </c>
      <c r="H49" s="27"/>
      <c r="I49" s="27"/>
      <c r="J49" s="27"/>
      <c r="K49" s="27"/>
      <c r="L49" s="27"/>
      <c r="M49" s="26"/>
    </row>
    <row r="50" spans="1:13" x14ac:dyDescent="0.25">
      <c r="A50" s="35"/>
      <c r="B50" s="38"/>
      <c r="C50" s="35"/>
      <c r="D50" s="35"/>
      <c r="E50" s="35"/>
      <c r="F50" s="35"/>
      <c r="G50" s="28" t="s">
        <v>73</v>
      </c>
      <c r="H50" s="27"/>
      <c r="I50" s="27"/>
      <c r="J50" s="27"/>
      <c r="K50" s="27"/>
      <c r="L50" s="27"/>
      <c r="M50" s="26"/>
    </row>
    <row r="51" spans="1:13" x14ac:dyDescent="0.25">
      <c r="A51" s="33">
        <v>5</v>
      </c>
      <c r="B51" s="38"/>
      <c r="C51" s="36"/>
      <c r="D51" s="36"/>
      <c r="E51" s="36"/>
      <c r="F51" s="36"/>
      <c r="G51" s="28" t="s">
        <v>69</v>
      </c>
      <c r="H51" s="27"/>
      <c r="I51" s="27"/>
      <c r="J51" s="27"/>
      <c r="K51" s="27"/>
      <c r="L51" s="27"/>
      <c r="M51" s="26"/>
    </row>
    <row r="52" spans="1:13" x14ac:dyDescent="0.25">
      <c r="A52" s="34"/>
      <c r="B52" s="38"/>
      <c r="C52" s="34"/>
      <c r="D52" s="34"/>
      <c r="E52" s="34"/>
      <c r="F52" s="34"/>
      <c r="G52" s="28" t="s">
        <v>71</v>
      </c>
      <c r="H52" s="27"/>
      <c r="I52" s="27"/>
      <c r="J52" s="27"/>
      <c r="K52" s="27"/>
      <c r="L52" s="27"/>
      <c r="M52" s="26"/>
    </row>
    <row r="53" spans="1:13" x14ac:dyDescent="0.25">
      <c r="A53" s="34"/>
      <c r="B53" s="38"/>
      <c r="C53" s="34"/>
      <c r="D53" s="34"/>
      <c r="E53" s="34"/>
      <c r="F53" s="34"/>
      <c r="G53" s="28" t="s">
        <v>72</v>
      </c>
      <c r="H53" s="27"/>
      <c r="I53" s="27"/>
      <c r="J53" s="27"/>
      <c r="K53" s="27"/>
      <c r="L53" s="27"/>
      <c r="M53" s="26"/>
    </row>
    <row r="54" spans="1:13" x14ac:dyDescent="0.25">
      <c r="A54" s="35"/>
      <c r="B54" s="38"/>
      <c r="C54" s="35"/>
      <c r="D54" s="35"/>
      <c r="E54" s="35"/>
      <c r="F54" s="35"/>
      <c r="G54" s="28" t="s">
        <v>73</v>
      </c>
      <c r="H54" s="27"/>
      <c r="I54" s="27"/>
      <c r="J54" s="27"/>
      <c r="K54" s="27"/>
      <c r="L54" s="27"/>
      <c r="M54" s="26"/>
    </row>
    <row r="55" spans="1:13" x14ac:dyDescent="0.25">
      <c r="A55" s="33">
        <v>6</v>
      </c>
      <c r="B55" s="38"/>
      <c r="C55" s="36"/>
      <c r="D55" s="36"/>
      <c r="E55" s="36"/>
      <c r="F55" s="36"/>
      <c r="G55" s="28" t="s">
        <v>69</v>
      </c>
      <c r="H55" s="27"/>
      <c r="I55" s="27"/>
      <c r="J55" s="27"/>
      <c r="K55" s="27"/>
      <c r="L55" s="27"/>
      <c r="M55" s="26"/>
    </row>
    <row r="56" spans="1:13" x14ac:dyDescent="0.25">
      <c r="A56" s="34"/>
      <c r="B56" s="38"/>
      <c r="C56" s="34"/>
      <c r="D56" s="34"/>
      <c r="E56" s="34"/>
      <c r="F56" s="34"/>
      <c r="G56" s="28" t="s">
        <v>71</v>
      </c>
      <c r="H56" s="27"/>
      <c r="I56" s="27"/>
      <c r="J56" s="27"/>
      <c r="K56" s="27"/>
      <c r="L56" s="27"/>
      <c r="M56" s="26"/>
    </row>
    <row r="57" spans="1:13" x14ac:dyDescent="0.25">
      <c r="A57" s="34"/>
      <c r="B57" s="38"/>
      <c r="C57" s="34"/>
      <c r="D57" s="34"/>
      <c r="E57" s="34"/>
      <c r="F57" s="34"/>
      <c r="G57" s="28" t="s">
        <v>72</v>
      </c>
      <c r="H57" s="27"/>
      <c r="I57" s="27"/>
      <c r="J57" s="27"/>
      <c r="K57" s="27"/>
      <c r="L57" s="27"/>
      <c r="M57" s="26"/>
    </row>
    <row r="58" spans="1:13" x14ac:dyDescent="0.25">
      <c r="A58" s="35"/>
      <c r="B58" s="39"/>
      <c r="C58" s="35"/>
      <c r="D58" s="35"/>
      <c r="E58" s="35"/>
      <c r="F58" s="35"/>
      <c r="G58" s="28" t="s">
        <v>73</v>
      </c>
      <c r="H58" s="27"/>
      <c r="I58" s="27"/>
      <c r="J58" s="27"/>
      <c r="K58" s="27"/>
      <c r="L58" s="27"/>
      <c r="M58" s="26"/>
    </row>
  </sheetData>
  <mergeCells count="70">
    <mergeCell ref="A6:M6"/>
    <mergeCell ref="A1:M1"/>
    <mergeCell ref="A2:M2"/>
    <mergeCell ref="A3:M3"/>
    <mergeCell ref="A4:M4"/>
    <mergeCell ref="A5:M5"/>
    <mergeCell ref="A7:M7"/>
    <mergeCell ref="A8:M8"/>
    <mergeCell ref="A11:A14"/>
    <mergeCell ref="C11:C14"/>
    <mergeCell ref="D11:D14"/>
    <mergeCell ref="E11:E14"/>
    <mergeCell ref="F11:F14"/>
    <mergeCell ref="A15:A18"/>
    <mergeCell ref="C15:C18"/>
    <mergeCell ref="D15:D18"/>
    <mergeCell ref="E15:E18"/>
    <mergeCell ref="F15:F18"/>
    <mergeCell ref="A19:A22"/>
    <mergeCell ref="C19:C22"/>
    <mergeCell ref="D19:D22"/>
    <mergeCell ref="E19:E22"/>
    <mergeCell ref="F19:F22"/>
    <mergeCell ref="A23:A26"/>
    <mergeCell ref="C23:C26"/>
    <mergeCell ref="D23:D26"/>
    <mergeCell ref="E23:E26"/>
    <mergeCell ref="F23:F26"/>
    <mergeCell ref="B11:B34"/>
    <mergeCell ref="A27:A30"/>
    <mergeCell ref="C27:C30"/>
    <mergeCell ref="D27:D30"/>
    <mergeCell ref="E27:E30"/>
    <mergeCell ref="F27:F30"/>
    <mergeCell ref="A31:A34"/>
    <mergeCell ref="C31:C34"/>
    <mergeCell ref="D31:D34"/>
    <mergeCell ref="E31:E34"/>
    <mergeCell ref="F31:F34"/>
    <mergeCell ref="A35:A38"/>
    <mergeCell ref="C35:C38"/>
    <mergeCell ref="D35:D38"/>
    <mergeCell ref="E35:E38"/>
    <mergeCell ref="F35:F38"/>
    <mergeCell ref="A39:A42"/>
    <mergeCell ref="C39:C42"/>
    <mergeCell ref="D39:D42"/>
    <mergeCell ref="E39:E42"/>
    <mergeCell ref="F39:F42"/>
    <mergeCell ref="A43:A46"/>
    <mergeCell ref="C43:C46"/>
    <mergeCell ref="D43:D46"/>
    <mergeCell ref="E43:E46"/>
    <mergeCell ref="F43:F46"/>
    <mergeCell ref="A47:A50"/>
    <mergeCell ref="C47:C50"/>
    <mergeCell ref="D47:D50"/>
    <mergeCell ref="E47:E50"/>
    <mergeCell ref="F47:F50"/>
    <mergeCell ref="B35:B58"/>
    <mergeCell ref="A51:A54"/>
    <mergeCell ref="C51:C54"/>
    <mergeCell ref="D51:D54"/>
    <mergeCell ref="E51:E54"/>
    <mergeCell ref="F51:F54"/>
    <mergeCell ref="A55:A58"/>
    <mergeCell ref="C55:C58"/>
    <mergeCell ref="D55:D58"/>
    <mergeCell ref="E55:E58"/>
    <mergeCell ref="F55:F58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175C72-3143-47DC-8F58-D51DE10D2784}">
  <dimension ref="A1:E25"/>
  <sheetViews>
    <sheetView workbookViewId="0">
      <selection activeCell="P19" sqref="P19"/>
    </sheetView>
  </sheetViews>
  <sheetFormatPr defaultRowHeight="15" x14ac:dyDescent="0.25"/>
  <sheetData>
    <row r="1" spans="1:5" x14ac:dyDescent="0.25">
      <c r="A1" s="57" t="s">
        <v>82</v>
      </c>
      <c r="B1" s="57"/>
      <c r="C1" s="57"/>
      <c r="D1" s="57"/>
      <c r="E1" s="57"/>
    </row>
    <row r="2" spans="1:5" x14ac:dyDescent="0.25">
      <c r="A2" s="58" t="s">
        <v>83</v>
      </c>
      <c r="B2" s="58"/>
      <c r="C2" s="58"/>
      <c r="D2" s="30" t="s">
        <v>84</v>
      </c>
      <c r="E2" s="30">
        <v>83.61</v>
      </c>
    </row>
    <row r="3" spans="1:5" x14ac:dyDescent="0.25">
      <c r="A3" s="58" t="s">
        <v>85</v>
      </c>
      <c r="B3" s="58"/>
      <c r="C3" s="58"/>
      <c r="D3" s="30" t="s">
        <v>84</v>
      </c>
      <c r="E3" s="30">
        <v>16.23</v>
      </c>
    </row>
    <row r="4" spans="1:5" x14ac:dyDescent="0.25">
      <c r="A4" s="58" t="s">
        <v>86</v>
      </c>
      <c r="B4" s="58"/>
      <c r="C4" s="58"/>
      <c r="D4" s="30" t="s">
        <v>84</v>
      </c>
      <c r="E4" s="30">
        <v>88.55</v>
      </c>
    </row>
    <row r="5" spans="1:5" x14ac:dyDescent="0.25">
      <c r="A5" s="29"/>
      <c r="B5" s="29"/>
      <c r="C5" s="29" t="s">
        <v>87</v>
      </c>
      <c r="D5" s="30" t="s">
        <v>88</v>
      </c>
      <c r="E5" s="30"/>
    </row>
    <row r="6" spans="1:5" x14ac:dyDescent="0.25">
      <c r="A6" s="31" t="s">
        <v>89</v>
      </c>
      <c r="B6" s="32">
        <v>3</v>
      </c>
      <c r="C6" s="31" t="s">
        <v>90</v>
      </c>
      <c r="D6" s="32" t="s">
        <v>84</v>
      </c>
      <c r="E6" s="32"/>
    </row>
    <row r="7" spans="1:5" x14ac:dyDescent="0.25">
      <c r="A7" s="31" t="s">
        <v>91</v>
      </c>
      <c r="B7" s="32">
        <v>4</v>
      </c>
      <c r="C7" s="31" t="s">
        <v>92</v>
      </c>
      <c r="D7" s="32" t="s">
        <v>84</v>
      </c>
      <c r="E7" s="32"/>
    </row>
    <row r="8" spans="1:5" x14ac:dyDescent="0.25">
      <c r="A8" s="31" t="s">
        <v>93</v>
      </c>
      <c r="B8" s="32">
        <v>4</v>
      </c>
      <c r="C8" s="31" t="s">
        <v>90</v>
      </c>
      <c r="D8" s="32" t="s">
        <v>84</v>
      </c>
      <c r="E8" s="32"/>
    </row>
    <row r="9" spans="1:5" x14ac:dyDescent="0.25">
      <c r="A9" s="31" t="s">
        <v>94</v>
      </c>
      <c r="B9" s="32">
        <v>5</v>
      </c>
      <c r="C9" s="31" t="s">
        <v>92</v>
      </c>
      <c r="D9" s="32" t="s">
        <v>84</v>
      </c>
      <c r="E9" s="32"/>
    </row>
    <row r="10" spans="1:5" x14ac:dyDescent="0.25">
      <c r="A10" s="31" t="s">
        <v>95</v>
      </c>
      <c r="B10" s="32">
        <v>5</v>
      </c>
      <c r="C10" s="31" t="s">
        <v>90</v>
      </c>
      <c r="D10" s="32" t="s">
        <v>84</v>
      </c>
      <c r="E10" s="32"/>
    </row>
    <row r="11" spans="1:5" x14ac:dyDescent="0.25">
      <c r="A11" s="31" t="s">
        <v>96</v>
      </c>
      <c r="B11" s="32">
        <v>6</v>
      </c>
      <c r="C11" s="31" t="s">
        <v>92</v>
      </c>
      <c r="D11" s="32" t="s">
        <v>84</v>
      </c>
      <c r="E11" s="32"/>
    </row>
    <row r="12" spans="1:5" x14ac:dyDescent="0.25">
      <c r="A12" s="31" t="s">
        <v>97</v>
      </c>
      <c r="B12" s="32">
        <v>6</v>
      </c>
      <c r="C12" s="31" t="s">
        <v>92</v>
      </c>
      <c r="D12" s="32" t="s">
        <v>84</v>
      </c>
      <c r="E12" s="32"/>
    </row>
    <row r="13" spans="1:5" x14ac:dyDescent="0.25">
      <c r="A13" s="31" t="s">
        <v>98</v>
      </c>
      <c r="B13" s="32">
        <v>6</v>
      </c>
      <c r="C13" s="31" t="s">
        <v>92</v>
      </c>
      <c r="D13" s="32" t="s">
        <v>84</v>
      </c>
      <c r="E13" s="32"/>
    </row>
    <row r="14" spans="1:5" x14ac:dyDescent="0.25">
      <c r="A14" s="31" t="s">
        <v>99</v>
      </c>
      <c r="B14" s="32">
        <v>6</v>
      </c>
      <c r="C14" s="31" t="s">
        <v>92</v>
      </c>
      <c r="D14" s="32" t="s">
        <v>84</v>
      </c>
      <c r="E14" s="32"/>
    </row>
    <row r="15" spans="1:5" x14ac:dyDescent="0.25">
      <c r="A15" s="31" t="s">
        <v>100</v>
      </c>
      <c r="B15" s="32">
        <v>6</v>
      </c>
      <c r="C15" s="31" t="s">
        <v>90</v>
      </c>
      <c r="D15" s="32" t="s">
        <v>84</v>
      </c>
      <c r="E15" s="32">
        <v>85</v>
      </c>
    </row>
    <row r="16" spans="1:5" x14ac:dyDescent="0.25">
      <c r="A16" s="31" t="s">
        <v>101</v>
      </c>
      <c r="B16" s="32">
        <v>6</v>
      </c>
      <c r="C16" s="31" t="s">
        <v>102</v>
      </c>
      <c r="D16" s="32" t="s">
        <v>84</v>
      </c>
      <c r="E16" s="32">
        <v>0.5</v>
      </c>
    </row>
    <row r="17" spans="1:5" x14ac:dyDescent="0.25">
      <c r="A17" s="31" t="s">
        <v>103</v>
      </c>
      <c r="B17" s="32">
        <v>7</v>
      </c>
      <c r="C17" s="31" t="s">
        <v>92</v>
      </c>
      <c r="D17" s="32" t="s">
        <v>84</v>
      </c>
      <c r="E17" s="32"/>
    </row>
    <row r="18" spans="1:5" x14ac:dyDescent="0.25">
      <c r="A18" s="31" t="s">
        <v>104</v>
      </c>
      <c r="B18" s="32">
        <v>7</v>
      </c>
      <c r="C18" s="31" t="s">
        <v>92</v>
      </c>
      <c r="D18" s="32" t="s">
        <v>84</v>
      </c>
      <c r="E18" s="32"/>
    </row>
    <row r="19" spans="1:5" x14ac:dyDescent="0.25">
      <c r="A19" s="31" t="s">
        <v>105</v>
      </c>
      <c r="B19" s="32">
        <v>7</v>
      </c>
      <c r="C19" s="31" t="s">
        <v>92</v>
      </c>
      <c r="D19" s="32" t="s">
        <v>84</v>
      </c>
      <c r="E19" s="32">
        <v>10</v>
      </c>
    </row>
    <row r="20" spans="1:5" x14ac:dyDescent="0.25">
      <c r="A20" s="31" t="s">
        <v>106</v>
      </c>
      <c r="B20" s="32">
        <v>8</v>
      </c>
      <c r="C20" s="31" t="s">
        <v>90</v>
      </c>
      <c r="D20" s="32" t="s">
        <v>84</v>
      </c>
      <c r="E20" s="32">
        <v>5</v>
      </c>
    </row>
    <row r="21" spans="1:5" x14ac:dyDescent="0.25">
      <c r="A21" s="31" t="s">
        <v>107</v>
      </c>
      <c r="B21" s="32"/>
      <c r="C21" s="32"/>
      <c r="D21" s="32" t="s">
        <v>84</v>
      </c>
      <c r="E21" s="32"/>
    </row>
    <row r="22" spans="1:5" x14ac:dyDescent="0.25">
      <c r="A22" s="31" t="s">
        <v>108</v>
      </c>
      <c r="B22" s="32"/>
      <c r="C22" s="32"/>
      <c r="D22" s="32" t="s">
        <v>84</v>
      </c>
      <c r="E22" s="32"/>
    </row>
    <row r="23" spans="1:5" x14ac:dyDescent="0.25">
      <c r="A23" s="31" t="s">
        <v>109</v>
      </c>
      <c r="B23" s="32"/>
      <c r="C23" s="32"/>
      <c r="D23" s="32" t="s">
        <v>84</v>
      </c>
      <c r="E23" s="32"/>
    </row>
    <row r="24" spans="1:5" x14ac:dyDescent="0.25">
      <c r="A24" s="31" t="s">
        <v>110</v>
      </c>
      <c r="B24" s="32"/>
      <c r="C24" s="32"/>
      <c r="D24" s="32" t="s">
        <v>84</v>
      </c>
      <c r="E24" s="32"/>
    </row>
    <row r="25" spans="1:5" x14ac:dyDescent="0.25">
      <c r="A25" s="31" t="s">
        <v>111</v>
      </c>
      <c r="B25" s="32"/>
      <c r="C25" s="32"/>
      <c r="D25" s="32" t="s">
        <v>84</v>
      </c>
      <c r="E25" s="32"/>
    </row>
  </sheetData>
  <mergeCells count="4">
    <mergeCell ref="A1:E1"/>
    <mergeCell ref="A2:C2"/>
    <mergeCell ref="A3:C3"/>
    <mergeCell ref="A4:C4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0cb1e24-a0e2-4a4c-9340-733297c9cd7c}" enabled="1" method="Privileged" siteId="{db1e96a8-a3da-442a-930b-235cac24cd5c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Plan</vt:lpstr>
      <vt:lpstr>DOE</vt:lpstr>
      <vt:lpstr>Feed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sankar sasmal</dc:creator>
  <cp:lastModifiedBy>Sasmal, Sankar PTIN-DRX/D/L/D</cp:lastModifiedBy>
  <dcterms:created xsi:type="dcterms:W3CDTF">2026-09-12T14:34:50Z</dcterms:created>
  <dcterms:modified xsi:type="dcterms:W3CDTF">2026-09-28T10:31:46Z</dcterms:modified>
</cp:coreProperties>
</file>